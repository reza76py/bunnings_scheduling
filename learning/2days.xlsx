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myProjects\bunnings_scheduling\learning\"/>
    </mc:Choice>
  </mc:AlternateContent>
  <xr:revisionPtr revIDLastSave="0" documentId="13_ncr:1_{D1505794-422F-4F17-97A4-6559AF56073F}" xr6:coauthVersionLast="47" xr6:coauthVersionMax="47" xr10:uidLastSave="{00000000-0000-0000-0000-000000000000}"/>
  <bookViews>
    <workbookView xWindow="21735" yWindow="585" windowWidth="26760" windowHeight="156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O22" i="1"/>
  <c r="O23" i="1"/>
  <c r="O24" i="1"/>
  <c r="O25" i="1"/>
  <c r="O26" i="1"/>
  <c r="O27" i="1"/>
  <c r="O28" i="1"/>
  <c r="O29" i="1"/>
  <c r="O30" i="1"/>
  <c r="O21" i="1"/>
  <c r="N22" i="1"/>
  <c r="N23" i="1"/>
  <c r="N24" i="1"/>
  <c r="N25" i="1"/>
  <c r="N26" i="1"/>
  <c r="N27" i="1"/>
  <c r="N28" i="1"/>
  <c r="N29" i="1"/>
  <c r="N30" i="1"/>
  <c r="N21" i="1"/>
  <c r="M22" i="1"/>
  <c r="M23" i="1"/>
  <c r="M24" i="1"/>
  <c r="M25" i="1"/>
  <c r="M26" i="1"/>
  <c r="M27" i="1"/>
  <c r="M28" i="1"/>
  <c r="M29" i="1"/>
  <c r="M30" i="1"/>
  <c r="M21" i="1"/>
  <c r="C13" i="1"/>
  <c r="C12" i="1"/>
  <c r="K54" i="1"/>
  <c r="K45" i="1"/>
  <c r="K46" i="1"/>
  <c r="K47" i="1"/>
  <c r="K48" i="1"/>
  <c r="K49" i="1"/>
  <c r="K50" i="1"/>
  <c r="K51" i="1"/>
  <c r="K52" i="1"/>
  <c r="K53" i="1"/>
  <c r="K44" i="1"/>
  <c r="J44" i="1"/>
  <c r="J46" i="1"/>
  <c r="J47" i="1"/>
  <c r="J48" i="1"/>
  <c r="J49" i="1"/>
  <c r="J50" i="1"/>
  <c r="J51" i="1"/>
  <c r="J52" i="1"/>
  <c r="J53" i="1"/>
  <c r="J45" i="1"/>
  <c r="I53" i="1"/>
  <c r="I52" i="1"/>
  <c r="I51" i="1"/>
  <c r="I50" i="1"/>
  <c r="I49" i="1"/>
  <c r="I48" i="1"/>
  <c r="I47" i="1"/>
  <c r="I46" i="1"/>
  <c r="I45" i="1"/>
  <c r="I44" i="1"/>
  <c r="E39" i="1"/>
  <c r="E38" i="1"/>
  <c r="E37" i="1"/>
  <c r="E36" i="1"/>
  <c r="C39" i="1"/>
  <c r="D47" i="1" s="1"/>
  <c r="E47" i="1" s="1"/>
  <c r="C38" i="1"/>
  <c r="D50" i="1" s="1"/>
  <c r="E50" i="1" s="1"/>
  <c r="C37" i="1"/>
  <c r="D48" i="1" s="1"/>
  <c r="E48" i="1" s="1"/>
  <c r="C36" i="1"/>
  <c r="D44" i="1" s="1"/>
  <c r="E44" i="1" s="1"/>
  <c r="H31" i="1"/>
  <c r="H12" i="1"/>
  <c r="H13" i="1" s="1"/>
  <c r="I24" i="1" l="1"/>
  <c r="J24" i="1" s="1"/>
  <c r="K24" i="1" s="1"/>
  <c r="I26" i="1"/>
  <c r="J26" i="1" s="1"/>
  <c r="K26" i="1" s="1"/>
  <c r="I27" i="1"/>
  <c r="J27" i="1" s="1"/>
  <c r="K27" i="1" s="1"/>
  <c r="I30" i="1"/>
  <c r="J30" i="1" s="1"/>
  <c r="K30" i="1" s="1"/>
  <c r="I21" i="1"/>
  <c r="J21" i="1" s="1"/>
  <c r="K21" i="1" s="1"/>
  <c r="I23" i="1"/>
  <c r="J23" i="1" s="1"/>
  <c r="K23" i="1" s="1"/>
  <c r="I25" i="1"/>
  <c r="J25" i="1" s="1"/>
  <c r="K25" i="1" s="1"/>
  <c r="I22" i="1"/>
  <c r="J22" i="1" s="1"/>
  <c r="K22" i="1" s="1"/>
  <c r="I28" i="1"/>
  <c r="J28" i="1" s="1"/>
  <c r="K28" i="1" s="1"/>
  <c r="I29" i="1"/>
  <c r="J29" i="1" s="1"/>
  <c r="K29" i="1" s="1"/>
  <c r="F48" i="1"/>
  <c r="D45" i="1"/>
  <c r="E45" i="1" s="1"/>
  <c r="D52" i="1"/>
  <c r="E52" i="1" s="1"/>
  <c r="D53" i="1"/>
  <c r="E53" i="1" s="1"/>
  <c r="F53" i="1" s="1"/>
  <c r="F50" i="1"/>
  <c r="F47" i="1"/>
  <c r="D51" i="1"/>
  <c r="E51" i="1" s="1"/>
  <c r="D49" i="1"/>
  <c r="E49" i="1" s="1"/>
  <c r="F44" i="1"/>
  <c r="F51" i="1"/>
  <c r="D46" i="1"/>
  <c r="F52" i="1"/>
  <c r="F49" i="1"/>
  <c r="F45" i="1"/>
  <c r="E46" i="1" l="1"/>
  <c r="F46" i="1" s="1"/>
  <c r="F54" i="1" s="1"/>
  <c r="K31" i="1"/>
</calcChain>
</file>

<file path=xl/sharedStrings.xml><?xml version="1.0" encoding="utf-8"?>
<sst xmlns="http://schemas.openxmlformats.org/spreadsheetml/2006/main" count="61" uniqueCount="16">
  <si>
    <t>Allegion</t>
  </si>
  <si>
    <t>BSG</t>
  </si>
  <si>
    <t>Orom</t>
  </si>
  <si>
    <t>Sika</t>
  </si>
  <si>
    <t>Duration</t>
  </si>
  <si>
    <t>SUM</t>
  </si>
  <si>
    <t>Value</t>
  </si>
  <si>
    <t>Supplier</t>
  </si>
  <si>
    <t>Reza</t>
  </si>
  <si>
    <t>Holly</t>
  </si>
  <si>
    <t>Ara</t>
  </si>
  <si>
    <t>Mehdi</t>
  </si>
  <si>
    <t>Predicted</t>
  </si>
  <si>
    <t>Error</t>
  </si>
  <si>
    <t>duration</t>
  </si>
  <si>
    <r>
      <t>(Error)</t>
    </r>
    <r>
      <rPr>
        <sz val="11"/>
        <color theme="1"/>
        <rFont val="Aptos Narrow"/>
        <family val="2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</si>
</sst>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 readingOrder="1"/>
    </xf>
    <xf numFmtId="2" fontId="0" fillId="0" borderId="0" xfId="0" applyNumberForma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topLeftCell="A31" workbookViewId="0">
      <selection activeCell="C39" sqref="C39"/>
    </sheetView>
  </sheetViews>
  <sheetFormatPr defaultRowHeight="15" x14ac:dyDescent="0.25"/>
  <cols>
    <col min="1" max="3" width="9.140625" style="1"/>
    <col min="4" max="4" width="10.140625" style="1" bestFit="1" customWidth="1"/>
    <col min="5" max="10" width="9.140625" style="1"/>
    <col min="11" max="11" width="13.28515625" style="1" bestFit="1" customWidth="1"/>
    <col min="12" max="14" width="9.140625" style="1"/>
    <col min="15" max="15" width="16.28515625" style="1" bestFit="1" customWidth="1"/>
    <col min="16" max="16384" width="9.140625" style="1"/>
  </cols>
  <sheetData>
    <row r="1" spans="1:11" x14ac:dyDescent="0.25">
      <c r="B1" t="s">
        <v>7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4</v>
      </c>
      <c r="K1"/>
    </row>
    <row r="2" spans="1:11" x14ac:dyDescent="0.25">
      <c r="B2" t="s">
        <v>0</v>
      </c>
      <c r="C2" s="1">
        <v>500</v>
      </c>
      <c r="D2" s="1">
        <v>1</v>
      </c>
      <c r="E2" s="1">
        <v>1</v>
      </c>
      <c r="F2" s="1">
        <v>0</v>
      </c>
      <c r="G2" s="1">
        <v>1</v>
      </c>
      <c r="H2" s="1">
        <v>35</v>
      </c>
      <c r="J2" s="2"/>
    </row>
    <row r="3" spans="1:11" x14ac:dyDescent="0.25">
      <c r="B3" t="s">
        <v>1</v>
      </c>
      <c r="C3" s="1">
        <v>6688</v>
      </c>
      <c r="D3" s="1">
        <v>1</v>
      </c>
      <c r="E3" s="1">
        <v>0</v>
      </c>
      <c r="F3" s="1">
        <v>1</v>
      </c>
      <c r="G3" s="1">
        <v>0</v>
      </c>
      <c r="H3" s="1">
        <v>58</v>
      </c>
      <c r="J3" s="2"/>
    </row>
    <row r="4" spans="1:11" x14ac:dyDescent="0.25">
      <c r="B4" s="2" t="s">
        <v>2</v>
      </c>
      <c r="C4" s="1">
        <v>1471</v>
      </c>
      <c r="D4" s="1">
        <v>1</v>
      </c>
      <c r="E4" s="1">
        <v>0</v>
      </c>
      <c r="F4" s="1">
        <v>0</v>
      </c>
      <c r="G4" s="1">
        <v>0</v>
      </c>
      <c r="H4" s="1">
        <v>20</v>
      </c>
      <c r="J4" s="2"/>
    </row>
    <row r="5" spans="1:11" x14ac:dyDescent="0.25">
      <c r="B5" t="s">
        <v>3</v>
      </c>
      <c r="C5" s="1">
        <v>9995</v>
      </c>
      <c r="D5" s="1">
        <v>1</v>
      </c>
      <c r="E5" s="1">
        <v>1</v>
      </c>
      <c r="F5" s="1">
        <v>1</v>
      </c>
      <c r="G5" s="1">
        <v>1</v>
      </c>
      <c r="H5" s="1">
        <v>14</v>
      </c>
      <c r="J5" s="2"/>
    </row>
    <row r="6" spans="1:11" x14ac:dyDescent="0.25">
      <c r="B6" t="s">
        <v>1</v>
      </c>
      <c r="C6" s="1">
        <v>5200</v>
      </c>
      <c r="D6" s="1">
        <v>1</v>
      </c>
      <c r="E6" s="1">
        <v>1</v>
      </c>
      <c r="F6" s="1">
        <v>0</v>
      </c>
      <c r="G6" s="1">
        <v>0</v>
      </c>
      <c r="H6" s="1">
        <v>48</v>
      </c>
    </row>
    <row r="7" spans="1:11" x14ac:dyDescent="0.25">
      <c r="B7" t="s">
        <v>3</v>
      </c>
      <c r="C7" s="1">
        <v>8100</v>
      </c>
      <c r="D7" s="1">
        <v>0</v>
      </c>
      <c r="E7" s="1">
        <v>1</v>
      </c>
      <c r="F7" s="1">
        <v>0</v>
      </c>
      <c r="G7" s="1">
        <v>1</v>
      </c>
      <c r="H7" s="1">
        <v>18</v>
      </c>
    </row>
    <row r="8" spans="1:11" x14ac:dyDescent="0.25">
      <c r="B8" t="s">
        <v>2</v>
      </c>
      <c r="C8" s="1">
        <v>2200</v>
      </c>
      <c r="D8" s="1">
        <v>1</v>
      </c>
      <c r="E8" s="1">
        <v>0</v>
      </c>
      <c r="F8" s="1">
        <v>1</v>
      </c>
      <c r="G8" s="1">
        <v>0</v>
      </c>
      <c r="H8" s="1">
        <v>28</v>
      </c>
    </row>
    <row r="9" spans="1:11" x14ac:dyDescent="0.25">
      <c r="B9" t="s">
        <v>0</v>
      </c>
      <c r="C9" s="1">
        <v>750</v>
      </c>
      <c r="D9" s="1">
        <v>0</v>
      </c>
      <c r="E9" s="1">
        <v>1</v>
      </c>
      <c r="F9" s="1">
        <v>0</v>
      </c>
      <c r="G9" s="1">
        <v>0</v>
      </c>
      <c r="H9" s="1">
        <v>40</v>
      </c>
    </row>
    <row r="10" spans="1:11" x14ac:dyDescent="0.25">
      <c r="B10" t="s">
        <v>1</v>
      </c>
      <c r="C10" s="1">
        <v>7100</v>
      </c>
      <c r="D10" s="1">
        <v>1</v>
      </c>
      <c r="E10" s="1">
        <v>1</v>
      </c>
      <c r="F10" s="1">
        <v>1</v>
      </c>
      <c r="G10" s="1">
        <v>0</v>
      </c>
      <c r="H10" s="1">
        <v>52</v>
      </c>
      <c r="K10"/>
    </row>
    <row r="11" spans="1:11" x14ac:dyDescent="0.25">
      <c r="B11" t="s">
        <v>3</v>
      </c>
      <c r="C11" s="1">
        <v>11000</v>
      </c>
      <c r="D11" s="1">
        <v>0</v>
      </c>
      <c r="E11" s="1">
        <v>0</v>
      </c>
      <c r="F11" s="1">
        <v>1</v>
      </c>
      <c r="G11" s="1">
        <v>1</v>
      </c>
      <c r="H11" s="1">
        <v>10</v>
      </c>
      <c r="J11" s="2"/>
    </row>
    <row r="12" spans="1:11" x14ac:dyDescent="0.25">
      <c r="A12" s="1" t="s">
        <v>5</v>
      </c>
      <c r="B12" s="2"/>
      <c r="C12" s="1">
        <f>SUM(C2:C11)</f>
        <v>53004</v>
      </c>
      <c r="H12" s="1">
        <f>SUM(H2:H11)</f>
        <v>323</v>
      </c>
      <c r="J12" s="2"/>
    </row>
    <row r="13" spans="1:11" x14ac:dyDescent="0.25">
      <c r="B13" s="2"/>
      <c r="C13" s="1">
        <f>C12/10</f>
        <v>5300.4</v>
      </c>
      <c r="H13" s="1">
        <f>H12/10</f>
        <v>32.299999999999997</v>
      </c>
      <c r="J13" s="2"/>
    </row>
    <row r="14" spans="1:11" x14ac:dyDescent="0.25">
      <c r="B14" s="2"/>
      <c r="J14" s="2"/>
    </row>
    <row r="20" spans="1:15" x14ac:dyDescent="0.25">
      <c r="B20" t="s">
        <v>7</v>
      </c>
      <c r="C20" t="s">
        <v>6</v>
      </c>
      <c r="D20" t="s">
        <v>8</v>
      </c>
      <c r="E20" t="s">
        <v>9</v>
      </c>
      <c r="F20" t="s">
        <v>10</v>
      </c>
      <c r="G20" t="s">
        <v>11</v>
      </c>
      <c r="H20" t="s">
        <v>4</v>
      </c>
      <c r="I20" t="s">
        <v>12</v>
      </c>
      <c r="J20" t="s">
        <v>13</v>
      </c>
      <c r="K20" s="1" t="s">
        <v>15</v>
      </c>
      <c r="M20" t="s">
        <v>12</v>
      </c>
      <c r="N20" t="s">
        <v>13</v>
      </c>
      <c r="O20" s="1" t="s">
        <v>15</v>
      </c>
    </row>
    <row r="21" spans="1:15" x14ac:dyDescent="0.25">
      <c r="B21" t="s">
        <v>0</v>
      </c>
      <c r="C21" s="1">
        <v>500</v>
      </c>
      <c r="D21" s="1">
        <v>1</v>
      </c>
      <c r="E21" s="1">
        <v>1</v>
      </c>
      <c r="F21" s="1">
        <v>0</v>
      </c>
      <c r="G21" s="1">
        <v>1</v>
      </c>
      <c r="H21" s="1">
        <v>35</v>
      </c>
      <c r="I21" s="1">
        <f>H$13</f>
        <v>32.299999999999997</v>
      </c>
      <c r="J21" s="1">
        <f>H21-I21</f>
        <v>2.7000000000000028</v>
      </c>
      <c r="K21" s="1">
        <f>J21^2</f>
        <v>7.2900000000000151</v>
      </c>
      <c r="M21" s="1">
        <f>C$13</f>
        <v>5300.4</v>
      </c>
      <c r="N21" s="1">
        <f>C21-M21</f>
        <v>-4800.3999999999996</v>
      </c>
      <c r="O21" s="1">
        <f>N21^2</f>
        <v>23043840.159999996</v>
      </c>
    </row>
    <row r="22" spans="1:15" x14ac:dyDescent="0.25">
      <c r="B22" t="s">
        <v>1</v>
      </c>
      <c r="C22" s="1">
        <v>6688</v>
      </c>
      <c r="D22" s="1">
        <v>1</v>
      </c>
      <c r="E22" s="1">
        <v>0</v>
      </c>
      <c r="F22" s="1">
        <v>1</v>
      </c>
      <c r="G22" s="1">
        <v>0</v>
      </c>
      <c r="H22" s="1">
        <v>58</v>
      </c>
      <c r="I22" s="1">
        <f t="shared" ref="I22:I30" si="0">H$13</f>
        <v>32.299999999999997</v>
      </c>
      <c r="J22" s="1">
        <f t="shared" ref="J22:J30" si="1">H22-I22</f>
        <v>25.700000000000003</v>
      </c>
      <c r="K22" s="1">
        <f t="shared" ref="K22:K30" si="2">J22^2</f>
        <v>660.49000000000012</v>
      </c>
      <c r="M22" s="1">
        <f t="shared" ref="M22:M30" si="3">C$13</f>
        <v>5300.4</v>
      </c>
      <c r="N22" s="1">
        <f t="shared" ref="N22:N30" si="4">C22-M22</f>
        <v>1387.6000000000004</v>
      </c>
      <c r="O22" s="1">
        <f t="shared" ref="O22:O30" si="5">N22^2</f>
        <v>1925433.7600000009</v>
      </c>
    </row>
    <row r="23" spans="1:15" x14ac:dyDescent="0.25">
      <c r="B23" s="2" t="s">
        <v>2</v>
      </c>
      <c r="C23" s="1">
        <v>1471</v>
      </c>
      <c r="D23" s="1">
        <v>1</v>
      </c>
      <c r="E23" s="1">
        <v>0</v>
      </c>
      <c r="F23" s="1">
        <v>0</v>
      </c>
      <c r="G23" s="1">
        <v>0</v>
      </c>
      <c r="H23" s="1">
        <v>20</v>
      </c>
      <c r="I23" s="1">
        <f t="shared" si="0"/>
        <v>32.299999999999997</v>
      </c>
      <c r="J23" s="1">
        <f t="shared" si="1"/>
        <v>-12.299999999999997</v>
      </c>
      <c r="K23" s="1">
        <f t="shared" si="2"/>
        <v>151.28999999999994</v>
      </c>
      <c r="M23" s="1">
        <f t="shared" si="3"/>
        <v>5300.4</v>
      </c>
      <c r="N23" s="1">
        <f t="shared" si="4"/>
        <v>-3829.3999999999996</v>
      </c>
      <c r="O23" s="1">
        <f t="shared" si="5"/>
        <v>14664304.359999998</v>
      </c>
    </row>
    <row r="24" spans="1:15" x14ac:dyDescent="0.25">
      <c r="B24" t="s">
        <v>3</v>
      </c>
      <c r="C24" s="1">
        <v>9995</v>
      </c>
      <c r="D24" s="1">
        <v>1</v>
      </c>
      <c r="E24" s="1">
        <v>1</v>
      </c>
      <c r="F24" s="1">
        <v>1</v>
      </c>
      <c r="G24" s="1">
        <v>1</v>
      </c>
      <c r="H24" s="1">
        <v>14</v>
      </c>
      <c r="I24" s="1">
        <f t="shared" si="0"/>
        <v>32.299999999999997</v>
      </c>
      <c r="J24" s="1">
        <f t="shared" si="1"/>
        <v>-18.299999999999997</v>
      </c>
      <c r="K24" s="1">
        <f t="shared" si="2"/>
        <v>334.88999999999987</v>
      </c>
      <c r="M24" s="1">
        <f t="shared" si="3"/>
        <v>5300.4</v>
      </c>
      <c r="N24" s="1">
        <f t="shared" si="4"/>
        <v>4694.6000000000004</v>
      </c>
      <c r="O24" s="1">
        <f t="shared" si="5"/>
        <v>22039269.160000004</v>
      </c>
    </row>
    <row r="25" spans="1:15" x14ac:dyDescent="0.25">
      <c r="B25" t="s">
        <v>1</v>
      </c>
      <c r="C25" s="1">
        <v>5200</v>
      </c>
      <c r="D25" s="1">
        <v>1</v>
      </c>
      <c r="E25" s="1">
        <v>1</v>
      </c>
      <c r="F25" s="1">
        <v>0</v>
      </c>
      <c r="G25" s="1">
        <v>0</v>
      </c>
      <c r="H25" s="1">
        <v>48</v>
      </c>
      <c r="I25" s="1">
        <f t="shared" si="0"/>
        <v>32.299999999999997</v>
      </c>
      <c r="J25" s="1">
        <f t="shared" si="1"/>
        <v>15.700000000000003</v>
      </c>
      <c r="K25" s="1">
        <f t="shared" si="2"/>
        <v>246.49000000000009</v>
      </c>
      <c r="M25" s="1">
        <f t="shared" si="3"/>
        <v>5300.4</v>
      </c>
      <c r="N25" s="1">
        <f t="shared" si="4"/>
        <v>-100.39999999999964</v>
      </c>
      <c r="O25" s="1">
        <f t="shared" si="5"/>
        <v>10080.159999999927</v>
      </c>
    </row>
    <row r="26" spans="1:15" x14ac:dyDescent="0.25">
      <c r="B26" t="s">
        <v>3</v>
      </c>
      <c r="C26" s="1">
        <v>8100</v>
      </c>
      <c r="D26" s="1">
        <v>0</v>
      </c>
      <c r="E26" s="1">
        <v>1</v>
      </c>
      <c r="F26" s="1">
        <v>0</v>
      </c>
      <c r="G26" s="1">
        <v>1</v>
      </c>
      <c r="H26" s="1">
        <v>18</v>
      </c>
      <c r="I26" s="1">
        <f t="shared" si="0"/>
        <v>32.299999999999997</v>
      </c>
      <c r="J26" s="1">
        <f t="shared" si="1"/>
        <v>-14.299999999999997</v>
      </c>
      <c r="K26" s="1">
        <f t="shared" si="2"/>
        <v>204.48999999999992</v>
      </c>
      <c r="M26" s="1">
        <f t="shared" si="3"/>
        <v>5300.4</v>
      </c>
      <c r="N26" s="1">
        <f t="shared" si="4"/>
        <v>2799.6000000000004</v>
      </c>
      <c r="O26" s="1">
        <f t="shared" si="5"/>
        <v>7837760.160000002</v>
      </c>
    </row>
    <row r="27" spans="1:15" x14ac:dyDescent="0.25">
      <c r="B27" t="s">
        <v>2</v>
      </c>
      <c r="C27" s="1">
        <v>2200</v>
      </c>
      <c r="D27" s="1">
        <v>1</v>
      </c>
      <c r="E27" s="1">
        <v>0</v>
      </c>
      <c r="F27" s="1">
        <v>1</v>
      </c>
      <c r="G27" s="1">
        <v>0</v>
      </c>
      <c r="H27" s="1">
        <v>28</v>
      </c>
      <c r="I27" s="1">
        <f t="shared" si="0"/>
        <v>32.299999999999997</v>
      </c>
      <c r="J27" s="1">
        <f t="shared" si="1"/>
        <v>-4.2999999999999972</v>
      </c>
      <c r="K27" s="1">
        <f t="shared" si="2"/>
        <v>18.489999999999977</v>
      </c>
      <c r="M27" s="1">
        <f t="shared" si="3"/>
        <v>5300.4</v>
      </c>
      <c r="N27" s="1">
        <f t="shared" si="4"/>
        <v>-3100.3999999999996</v>
      </c>
      <c r="O27" s="1">
        <f t="shared" si="5"/>
        <v>9612480.1599999983</v>
      </c>
    </row>
    <row r="28" spans="1:15" x14ac:dyDescent="0.25">
      <c r="B28" t="s">
        <v>0</v>
      </c>
      <c r="C28" s="1">
        <v>750</v>
      </c>
      <c r="D28" s="1">
        <v>0</v>
      </c>
      <c r="E28" s="1">
        <v>1</v>
      </c>
      <c r="F28" s="1">
        <v>0</v>
      </c>
      <c r="G28" s="1">
        <v>0</v>
      </c>
      <c r="H28" s="1">
        <v>40</v>
      </c>
      <c r="I28" s="1">
        <f t="shared" si="0"/>
        <v>32.299999999999997</v>
      </c>
      <c r="J28" s="1">
        <f t="shared" si="1"/>
        <v>7.7000000000000028</v>
      </c>
      <c r="K28" s="1">
        <f t="shared" si="2"/>
        <v>59.290000000000042</v>
      </c>
      <c r="M28" s="1">
        <f t="shared" si="3"/>
        <v>5300.4</v>
      </c>
      <c r="N28" s="1">
        <f t="shared" si="4"/>
        <v>-4550.3999999999996</v>
      </c>
      <c r="O28" s="1">
        <f t="shared" si="5"/>
        <v>20706140.159999996</v>
      </c>
    </row>
    <row r="29" spans="1:15" x14ac:dyDescent="0.25">
      <c r="B29" t="s">
        <v>1</v>
      </c>
      <c r="C29" s="1">
        <v>7100</v>
      </c>
      <c r="D29" s="1">
        <v>1</v>
      </c>
      <c r="E29" s="1">
        <v>1</v>
      </c>
      <c r="F29" s="1">
        <v>1</v>
      </c>
      <c r="G29" s="1">
        <v>0</v>
      </c>
      <c r="H29" s="1">
        <v>52</v>
      </c>
      <c r="I29" s="1">
        <f t="shared" si="0"/>
        <v>32.299999999999997</v>
      </c>
      <c r="J29" s="1">
        <f t="shared" si="1"/>
        <v>19.700000000000003</v>
      </c>
      <c r="K29" s="1">
        <f t="shared" si="2"/>
        <v>388.09000000000009</v>
      </c>
      <c r="M29" s="1">
        <f t="shared" si="3"/>
        <v>5300.4</v>
      </c>
      <c r="N29" s="1">
        <f t="shared" si="4"/>
        <v>1799.6000000000004</v>
      </c>
      <c r="O29" s="1">
        <f t="shared" si="5"/>
        <v>3238560.1600000011</v>
      </c>
    </row>
    <row r="30" spans="1:15" x14ac:dyDescent="0.25">
      <c r="B30" t="s">
        <v>3</v>
      </c>
      <c r="C30" s="1">
        <v>11000</v>
      </c>
      <c r="D30" s="1">
        <v>0</v>
      </c>
      <c r="E30" s="1">
        <v>0</v>
      </c>
      <c r="F30" s="1">
        <v>1</v>
      </c>
      <c r="G30" s="1">
        <v>1</v>
      </c>
      <c r="H30" s="1">
        <v>10</v>
      </c>
      <c r="I30" s="1">
        <f t="shared" si="0"/>
        <v>32.299999999999997</v>
      </c>
      <c r="J30" s="1">
        <f t="shared" si="1"/>
        <v>-22.299999999999997</v>
      </c>
      <c r="K30" s="1">
        <f t="shared" si="2"/>
        <v>497.28999999999985</v>
      </c>
      <c r="M30" s="1">
        <f t="shared" si="3"/>
        <v>5300.4</v>
      </c>
      <c r="N30" s="1">
        <f t="shared" si="4"/>
        <v>5699.6</v>
      </c>
      <c r="O30" s="1">
        <f t="shared" si="5"/>
        <v>32485440.160000004</v>
      </c>
    </row>
    <row r="31" spans="1:15" x14ac:dyDescent="0.25">
      <c r="A31" s="1" t="s">
        <v>5</v>
      </c>
      <c r="B31" s="2"/>
      <c r="H31" s="1">
        <f>SUM(H21:H30)</f>
        <v>323</v>
      </c>
      <c r="K31" s="1">
        <f>SUM(K21:K30)</f>
        <v>2568.1</v>
      </c>
      <c r="O31" s="5">
        <f>SUM(O21:O30)</f>
        <v>135563308.39999998</v>
      </c>
    </row>
    <row r="32" spans="1:15" x14ac:dyDescent="0.25">
      <c r="B32" s="2"/>
    </row>
    <row r="35" spans="2:11" x14ac:dyDescent="0.25">
      <c r="B35" s="1" t="s">
        <v>7</v>
      </c>
      <c r="C35" s="1" t="s">
        <v>14</v>
      </c>
      <c r="E35" s="1" t="s">
        <v>6</v>
      </c>
    </row>
    <row r="36" spans="2:11" x14ac:dyDescent="0.25">
      <c r="B36" t="s">
        <v>0</v>
      </c>
      <c r="C36" s="1">
        <f>(H21+H28)/2</f>
        <v>37.5</v>
      </c>
      <c r="E36" s="1">
        <f>(C21+C28)/2</f>
        <v>625</v>
      </c>
    </row>
    <row r="37" spans="2:11" x14ac:dyDescent="0.25">
      <c r="B37" t="s">
        <v>1</v>
      </c>
      <c r="C37" s="1">
        <f>(H22+H25+H29)/3</f>
        <v>52.666666666666664</v>
      </c>
      <c r="E37" s="1">
        <f>(C22+C25+C29)/3</f>
        <v>6329.333333333333</v>
      </c>
    </row>
    <row r="38" spans="2:11" x14ac:dyDescent="0.25">
      <c r="B38" s="2" t="s">
        <v>2</v>
      </c>
      <c r="C38" s="1">
        <f>(H23+H27)/2</f>
        <v>24</v>
      </c>
      <c r="E38" s="1">
        <f>(C23+C27)/2</f>
        <v>1835.5</v>
      </c>
    </row>
    <row r="39" spans="2:11" x14ac:dyDescent="0.25">
      <c r="B39" t="s">
        <v>3</v>
      </c>
      <c r="C39" s="1">
        <f>(H24+H26+H30)/3</f>
        <v>14</v>
      </c>
      <c r="E39" s="1">
        <f>(C24+C26+C30)/3</f>
        <v>9698.3333333333339</v>
      </c>
    </row>
    <row r="43" spans="2:11" x14ac:dyDescent="0.25">
      <c r="B43" t="s">
        <v>7</v>
      </c>
      <c r="C43"/>
      <c r="D43" s="1" t="s">
        <v>4</v>
      </c>
    </row>
    <row r="44" spans="2:11" x14ac:dyDescent="0.25">
      <c r="B44" t="s">
        <v>0</v>
      </c>
      <c r="C44" s="1">
        <v>35</v>
      </c>
      <c r="D44" s="3">
        <f>C36</f>
        <v>37.5</v>
      </c>
      <c r="E44" s="4">
        <f>C44-D44</f>
        <v>-2.5</v>
      </c>
      <c r="F44" s="4">
        <f>E44^2</f>
        <v>6.25</v>
      </c>
      <c r="H44" s="1">
        <v>500</v>
      </c>
      <c r="I44" s="1">
        <f>E36</f>
        <v>625</v>
      </c>
      <c r="J44" s="1">
        <f>H44-I44</f>
        <v>-125</v>
      </c>
      <c r="K44" s="1">
        <f>J44^2</f>
        <v>15625</v>
      </c>
    </row>
    <row r="45" spans="2:11" x14ac:dyDescent="0.25">
      <c r="B45" t="s">
        <v>1</v>
      </c>
      <c r="C45" s="1">
        <v>58</v>
      </c>
      <c r="D45" s="3">
        <f>C37</f>
        <v>52.666666666666664</v>
      </c>
      <c r="E45" s="4">
        <f>C45-D45</f>
        <v>5.3333333333333357</v>
      </c>
      <c r="F45" s="4">
        <f t="shared" ref="F45:F53" si="6">E45^2</f>
        <v>28.444444444444471</v>
      </c>
      <c r="H45" s="1">
        <v>6688</v>
      </c>
      <c r="I45" s="1">
        <f>E37</f>
        <v>6329.333333333333</v>
      </c>
      <c r="J45" s="1">
        <f>H45-I45</f>
        <v>358.66666666666697</v>
      </c>
      <c r="K45" s="1">
        <f t="shared" ref="K45:K53" si="7">J45^2</f>
        <v>128641.777777778</v>
      </c>
    </row>
    <row r="46" spans="2:11" x14ac:dyDescent="0.25">
      <c r="B46" s="2" t="s">
        <v>2</v>
      </c>
      <c r="C46" s="1">
        <v>20</v>
      </c>
      <c r="D46" s="3">
        <f>C38</f>
        <v>24</v>
      </c>
      <c r="E46" s="4">
        <f>C46-D46</f>
        <v>-4</v>
      </c>
      <c r="F46" s="4">
        <f t="shared" si="6"/>
        <v>16</v>
      </c>
      <c r="H46" s="1">
        <v>1471</v>
      </c>
      <c r="I46" s="1">
        <f>E38</f>
        <v>1835.5</v>
      </c>
      <c r="J46" s="1">
        <f t="shared" ref="J46:J53" si="8">H46-I46</f>
        <v>-364.5</v>
      </c>
      <c r="K46" s="1">
        <f t="shared" si="7"/>
        <v>132860.25</v>
      </c>
    </row>
    <row r="47" spans="2:11" x14ac:dyDescent="0.25">
      <c r="B47" t="s">
        <v>3</v>
      </c>
      <c r="C47" s="1">
        <v>14</v>
      </c>
      <c r="D47" s="3">
        <f>C39</f>
        <v>14</v>
      </c>
      <c r="E47" s="4">
        <f>C47-D47</f>
        <v>0</v>
      </c>
      <c r="F47" s="4">
        <f t="shared" si="6"/>
        <v>0</v>
      </c>
      <c r="H47" s="1">
        <v>9995</v>
      </c>
      <c r="I47" s="1">
        <f>E39</f>
        <v>9698.3333333333339</v>
      </c>
      <c r="J47" s="1">
        <f t="shared" si="8"/>
        <v>296.66666666666606</v>
      </c>
      <c r="K47" s="1">
        <f t="shared" si="7"/>
        <v>88011.111111110746</v>
      </c>
    </row>
    <row r="48" spans="2:11" x14ac:dyDescent="0.25">
      <c r="B48" t="s">
        <v>1</v>
      </c>
      <c r="C48" s="1">
        <v>48</v>
      </c>
      <c r="D48" s="3">
        <f>C37</f>
        <v>52.666666666666664</v>
      </c>
      <c r="E48" s="4">
        <f>C48-D48</f>
        <v>-4.6666666666666643</v>
      </c>
      <c r="F48" s="4">
        <f t="shared" si="6"/>
        <v>21.777777777777757</v>
      </c>
      <c r="H48" s="1">
        <v>5200</v>
      </c>
      <c r="I48" s="1">
        <f>E37</f>
        <v>6329.333333333333</v>
      </c>
      <c r="J48" s="1">
        <f t="shared" si="8"/>
        <v>-1129.333333333333</v>
      </c>
      <c r="K48" s="1">
        <f t="shared" si="7"/>
        <v>1275393.7777777771</v>
      </c>
    </row>
    <row r="49" spans="2:11" x14ac:dyDescent="0.25">
      <c r="B49" t="s">
        <v>3</v>
      </c>
      <c r="C49" s="1">
        <v>18</v>
      </c>
      <c r="D49" s="3">
        <f>C39</f>
        <v>14</v>
      </c>
      <c r="E49" s="4">
        <f>C49-D49</f>
        <v>4</v>
      </c>
      <c r="F49" s="4">
        <f t="shared" si="6"/>
        <v>16</v>
      </c>
      <c r="H49" s="1">
        <v>8100</v>
      </c>
      <c r="I49" s="1">
        <f>E39</f>
        <v>9698.3333333333339</v>
      </c>
      <c r="J49" s="1">
        <f t="shared" si="8"/>
        <v>-1598.3333333333339</v>
      </c>
      <c r="K49" s="1">
        <f t="shared" si="7"/>
        <v>2554669.4444444464</v>
      </c>
    </row>
    <row r="50" spans="2:11" x14ac:dyDescent="0.25">
      <c r="B50" t="s">
        <v>2</v>
      </c>
      <c r="C50" s="1">
        <v>28</v>
      </c>
      <c r="D50" s="3">
        <f>C38</f>
        <v>24</v>
      </c>
      <c r="E50" s="4">
        <f>C50-D50</f>
        <v>4</v>
      </c>
      <c r="F50" s="4">
        <f t="shared" si="6"/>
        <v>16</v>
      </c>
      <c r="H50" s="1">
        <v>2200</v>
      </c>
      <c r="I50" s="1">
        <f>E38</f>
        <v>1835.5</v>
      </c>
      <c r="J50" s="1">
        <f t="shared" si="8"/>
        <v>364.5</v>
      </c>
      <c r="K50" s="1">
        <f t="shared" si="7"/>
        <v>132860.25</v>
      </c>
    </row>
    <row r="51" spans="2:11" x14ac:dyDescent="0.25">
      <c r="B51" t="s">
        <v>0</v>
      </c>
      <c r="C51" s="1">
        <v>40</v>
      </c>
      <c r="D51" s="3">
        <f>C36</f>
        <v>37.5</v>
      </c>
      <c r="E51" s="4">
        <f>C51-D51</f>
        <v>2.5</v>
      </c>
      <c r="F51" s="4">
        <f t="shared" si="6"/>
        <v>6.25</v>
      </c>
      <c r="H51" s="1">
        <v>750</v>
      </c>
      <c r="I51" s="1">
        <f>E36</f>
        <v>625</v>
      </c>
      <c r="J51" s="1">
        <f t="shared" si="8"/>
        <v>125</v>
      </c>
      <c r="K51" s="1">
        <f t="shared" si="7"/>
        <v>15625</v>
      </c>
    </row>
    <row r="52" spans="2:11" x14ac:dyDescent="0.25">
      <c r="B52" t="s">
        <v>1</v>
      </c>
      <c r="C52" s="1">
        <v>52</v>
      </c>
      <c r="D52" s="3">
        <f>C37</f>
        <v>52.666666666666664</v>
      </c>
      <c r="E52" s="4">
        <f>C52-D52</f>
        <v>-0.6666666666666643</v>
      </c>
      <c r="F52" s="4">
        <f t="shared" si="6"/>
        <v>0.44444444444444131</v>
      </c>
      <c r="H52" s="1">
        <v>7100</v>
      </c>
      <c r="I52" s="1">
        <f>E37</f>
        <v>6329.333333333333</v>
      </c>
      <c r="J52" s="1">
        <f t="shared" si="8"/>
        <v>770.66666666666697</v>
      </c>
      <c r="K52" s="1">
        <f t="shared" si="7"/>
        <v>593927.11111111159</v>
      </c>
    </row>
    <row r="53" spans="2:11" x14ac:dyDescent="0.25">
      <c r="B53" t="s">
        <v>3</v>
      </c>
      <c r="C53" s="1">
        <v>10</v>
      </c>
      <c r="D53" s="3">
        <f>C39</f>
        <v>14</v>
      </c>
      <c r="E53" s="4">
        <f>C53-D53</f>
        <v>-4</v>
      </c>
      <c r="F53" s="4">
        <f t="shared" si="6"/>
        <v>16</v>
      </c>
      <c r="H53" s="1">
        <v>11000</v>
      </c>
      <c r="I53" s="1">
        <f>E39</f>
        <v>9698.3333333333339</v>
      </c>
      <c r="J53" s="1">
        <f t="shared" si="8"/>
        <v>1301.6666666666661</v>
      </c>
      <c r="K53" s="1">
        <f t="shared" si="7"/>
        <v>1694336.1111111096</v>
      </c>
    </row>
    <row r="54" spans="2:11" x14ac:dyDescent="0.25">
      <c r="C54" s="4"/>
      <c r="F54" s="4">
        <f>SUM(F44:F53)</f>
        <v>127.16666666666667</v>
      </c>
      <c r="K54" s="5">
        <f>SUM(K44:K53)</f>
        <v>6631949.833333334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 Mollagholipour</cp:lastModifiedBy>
  <dcterms:created xsi:type="dcterms:W3CDTF">2015-06-05T18:17:20Z</dcterms:created>
  <dcterms:modified xsi:type="dcterms:W3CDTF">2026-05-27T13:29:03Z</dcterms:modified>
</cp:coreProperties>
</file>